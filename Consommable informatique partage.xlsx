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.laifaoui\Downloads\parc_anem\"/>
    </mc:Choice>
  </mc:AlternateContent>
  <xr:revisionPtr revIDLastSave="0" documentId="8_{B2FC67DE-F70B-4970-8721-7D71EE5D08BA}" xr6:coauthVersionLast="36" xr6:coauthVersionMax="36" xr10:uidLastSave="{00000000-0000-0000-0000-000000000000}"/>
  <bookViews>
    <workbookView xWindow="0" yWindow="0" windowWidth="20235" windowHeight="7020" activeTab="1" xr2:uid="{00000000-000D-0000-FFFF-FFFF00000000}"/>
  </bookViews>
  <sheets>
    <sheet name="2023" sheetId="1" r:id="rId1"/>
    <sheet name="2024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" i="1" l="1"/>
  <c r="G7" i="1"/>
  <c r="O7" i="1" s="1"/>
  <c r="G8" i="1"/>
  <c r="O8" i="1" s="1"/>
  <c r="G9" i="1"/>
  <c r="O9" i="1" s="1"/>
  <c r="G10" i="1"/>
  <c r="O10" i="1" s="1"/>
  <c r="G11" i="1"/>
  <c r="O11" i="1" s="1"/>
  <c r="G12" i="1"/>
  <c r="O12" i="1" s="1"/>
  <c r="G13" i="1"/>
  <c r="O13" i="1" s="1"/>
  <c r="G14" i="1"/>
  <c r="O14" i="1" s="1"/>
  <c r="G15" i="1"/>
  <c r="O15" i="1" s="1"/>
  <c r="G16" i="1"/>
  <c r="O16" i="1" s="1"/>
  <c r="G17" i="1"/>
  <c r="G18" i="1"/>
  <c r="O18" i="1" s="1"/>
  <c r="G19" i="1"/>
  <c r="O19" i="1" s="1"/>
  <c r="G20" i="1"/>
  <c r="O20" i="1" s="1"/>
  <c r="G21" i="1"/>
  <c r="O21" i="1" s="1"/>
  <c r="G22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G6" i="1" l="1"/>
  <c r="O6" i="1" s="1"/>
</calcChain>
</file>

<file path=xl/sharedStrings.xml><?xml version="1.0" encoding="utf-8"?>
<sst xmlns="http://schemas.openxmlformats.org/spreadsheetml/2006/main" count="64" uniqueCount="58">
  <si>
    <t>N°</t>
  </si>
  <si>
    <t>Désignation</t>
  </si>
  <si>
    <t>Qte</t>
  </si>
  <si>
    <t xml:space="preserve">PU HT </t>
  </si>
  <si>
    <t>Montant HT</t>
  </si>
  <si>
    <t>Tonner CANON MF 4730</t>
  </si>
  <si>
    <t>Tonner BROTHER H 1100</t>
  </si>
  <si>
    <t>Tonner CANON LP 3010</t>
  </si>
  <si>
    <t>Tonner EPSON M 2000</t>
  </si>
  <si>
    <t>Cartouche EPSON BX300</t>
  </si>
  <si>
    <t>Cartouche EPSON WP 4095</t>
  </si>
  <si>
    <t>Tonner HP 1022</t>
  </si>
  <si>
    <t>Tonner KYOCERA M 2035</t>
  </si>
  <si>
    <t>Tonner XEROX 3435</t>
  </si>
  <si>
    <t xml:space="preserve">Tonner Kyocera 1016  </t>
  </si>
  <si>
    <t>Tonner samsung MF 1660</t>
  </si>
  <si>
    <t xml:space="preserve">Flash disk 32 G </t>
  </si>
  <si>
    <t>Disk dur externe 1 tera</t>
  </si>
  <si>
    <t>Webcam 16 mega pixel</t>
  </si>
  <si>
    <t xml:space="preserve">Clavier sans fil Souris sans fil </t>
  </si>
  <si>
    <t xml:space="preserve">Souris sans fil </t>
  </si>
  <si>
    <t>Micro phone</t>
  </si>
  <si>
    <t>AWEM</t>
  </si>
  <si>
    <t>ALEM B</t>
  </si>
  <si>
    <t>LAKHDARIA</t>
  </si>
  <si>
    <t>A BESSEM</t>
  </si>
  <si>
    <t>M CHEDALLAH</t>
  </si>
  <si>
    <t xml:space="preserve">SEG </t>
  </si>
  <si>
    <t>B OKHRIS</t>
  </si>
  <si>
    <t>Total</t>
  </si>
  <si>
    <t>Minatta@123</t>
  </si>
  <si>
    <t>Tonner CANON LBP 3010</t>
  </si>
  <si>
    <t>Tonner KYOCERA M 2035 TK 1140</t>
  </si>
  <si>
    <t>Tonner KYOCERA MF 2135 TK 1150</t>
  </si>
  <si>
    <t>Tonner BROTHER HL 1100</t>
  </si>
  <si>
    <t>Cartouche CANON PXMA G3200</t>
  </si>
  <si>
    <t>Tonner samsung ML 1660 TD1</t>
  </si>
  <si>
    <t xml:space="preserve">Disk dur interne SSD 512 GO TEAMGROUP </t>
  </si>
  <si>
    <t>Flash disk  128 Go HP</t>
  </si>
  <si>
    <t>Cable VGA</t>
  </si>
  <si>
    <t>Cable USB imprimante 3M</t>
  </si>
  <si>
    <t>Prise murale apparente RJ 45</t>
  </si>
  <si>
    <t>Cable SATA DATA</t>
  </si>
  <si>
    <t>Connecteur RG 45</t>
  </si>
  <si>
    <t>DVD (Boite 50 DVDS)</t>
  </si>
  <si>
    <t xml:space="preserve">TONNER LEXMARK MS410DN </t>
  </si>
  <si>
    <t>ALEM Bouira</t>
  </si>
  <si>
    <t>Lakhdaria</t>
  </si>
  <si>
    <t>M'chedallah</t>
  </si>
  <si>
    <t>Partage consommable informatique :</t>
  </si>
  <si>
    <t>Ain Bessem</t>
  </si>
  <si>
    <t>Sour El Ghozlane</t>
  </si>
  <si>
    <t>Bordj khris</t>
  </si>
  <si>
    <t>AWEM bouira</t>
  </si>
  <si>
    <t>Administrateur/consolide</t>
  </si>
  <si>
    <t>Qte achété</t>
  </si>
  <si>
    <t>partage</t>
  </si>
  <si>
    <t>Année……..: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</si>
</sst>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0" borderId="0" xfId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43" fontId="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43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3" fillId="0" borderId="3" xfId="0" applyFont="1" applyBorder="1"/>
    <xf numFmtId="0" fontId="0" fillId="0" borderId="6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0" fillId="0" borderId="9" xfId="0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inatta@123" TargetMode="External"/><Relationship Id="rId1" Type="http://schemas.openxmlformats.org/officeDocument/2006/relationships/hyperlink" Target="mailto:Minatta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Q44"/>
  <sheetViews>
    <sheetView workbookViewId="0">
      <selection activeCell="D6" sqref="D6"/>
    </sheetView>
  </sheetViews>
  <sheetFormatPr baseColWidth="10" defaultRowHeight="15" x14ac:dyDescent="0.25"/>
  <cols>
    <col min="2" max="2" width="6.85546875" customWidth="1"/>
    <col min="3" max="3" width="23.42578125" customWidth="1"/>
    <col min="4" max="4" width="8.7109375" customWidth="1"/>
    <col min="5" max="5" width="13.85546875" customWidth="1"/>
    <col min="6" max="6" width="13.42578125" customWidth="1"/>
    <col min="7" max="7" width="11.42578125" customWidth="1"/>
    <col min="8" max="8" width="13" customWidth="1"/>
    <col min="12" max="12" width="16.85546875" customWidth="1"/>
  </cols>
  <sheetData>
    <row r="5" spans="1:15" x14ac:dyDescent="0.25">
      <c r="A5" s="1" t="s">
        <v>0</v>
      </c>
      <c r="B5" s="21" t="s">
        <v>1</v>
      </c>
      <c r="C5" s="22"/>
      <c r="D5" s="1" t="s">
        <v>2</v>
      </c>
      <c r="E5" s="1" t="s">
        <v>3</v>
      </c>
      <c r="F5" s="2" t="s">
        <v>4</v>
      </c>
      <c r="G5" s="3" t="s">
        <v>29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26</v>
      </c>
      <c r="M5" s="3" t="s">
        <v>27</v>
      </c>
      <c r="N5" s="3" t="s">
        <v>28</v>
      </c>
      <c r="O5" s="3"/>
    </row>
    <row r="6" spans="1:15" x14ac:dyDescent="0.25">
      <c r="A6" s="23">
        <v>1</v>
      </c>
      <c r="B6" s="5">
        <v>1</v>
      </c>
      <c r="C6" s="6" t="s">
        <v>5</v>
      </c>
      <c r="D6" s="5">
        <v>20</v>
      </c>
      <c r="E6" s="7">
        <v>1200</v>
      </c>
      <c r="F6" s="7">
        <f>E6*D6</f>
        <v>24000</v>
      </c>
      <c r="G6" s="8">
        <f>SUM(H6:N6)</f>
        <v>20</v>
      </c>
      <c r="H6" s="8">
        <v>6</v>
      </c>
      <c r="I6" s="8"/>
      <c r="J6" s="8">
        <v>6</v>
      </c>
      <c r="K6" s="8">
        <v>4</v>
      </c>
      <c r="L6" s="8"/>
      <c r="M6" s="8"/>
      <c r="N6" s="8">
        <v>4</v>
      </c>
      <c r="O6" s="8">
        <f>D6-G6</f>
        <v>0</v>
      </c>
    </row>
    <row r="7" spans="1:15" x14ac:dyDescent="0.25">
      <c r="A7" s="24"/>
      <c r="B7" s="5">
        <v>2</v>
      </c>
      <c r="C7" s="6" t="s">
        <v>6</v>
      </c>
      <c r="D7" s="5">
        <v>6</v>
      </c>
      <c r="E7" s="7">
        <v>1200</v>
      </c>
      <c r="F7" s="7">
        <f t="shared" ref="F7:F22" si="0">E7*D7</f>
        <v>7200</v>
      </c>
      <c r="G7" s="8">
        <f t="shared" ref="G7:G22" si="1">SUM(H7:N7)</f>
        <v>6</v>
      </c>
      <c r="H7" s="8">
        <v>4</v>
      </c>
      <c r="I7" s="8">
        <v>2</v>
      </c>
      <c r="J7" s="8"/>
      <c r="K7" s="8"/>
      <c r="L7" s="8"/>
      <c r="M7" s="8"/>
      <c r="N7" s="8"/>
      <c r="O7" s="8">
        <f t="shared" ref="O7:O21" si="2">D7-G7</f>
        <v>0</v>
      </c>
    </row>
    <row r="8" spans="1:15" x14ac:dyDescent="0.25">
      <c r="A8" s="24"/>
      <c r="B8" s="5">
        <v>3</v>
      </c>
      <c r="C8" s="6" t="s">
        <v>7</v>
      </c>
      <c r="D8" s="5">
        <v>20</v>
      </c>
      <c r="E8" s="7">
        <v>1200</v>
      </c>
      <c r="F8" s="7">
        <f t="shared" si="0"/>
        <v>24000</v>
      </c>
      <c r="G8" s="8">
        <f t="shared" si="1"/>
        <v>20</v>
      </c>
      <c r="H8" s="8"/>
      <c r="I8" s="8">
        <v>5</v>
      </c>
      <c r="J8" s="8">
        <v>4</v>
      </c>
      <c r="K8" s="8">
        <v>4</v>
      </c>
      <c r="L8" s="8">
        <v>4</v>
      </c>
      <c r="M8" s="8">
        <v>3</v>
      </c>
      <c r="N8" s="8"/>
      <c r="O8" s="8">
        <f t="shared" si="2"/>
        <v>0</v>
      </c>
    </row>
    <row r="9" spans="1:15" x14ac:dyDescent="0.25">
      <c r="A9" s="24"/>
      <c r="B9" s="5">
        <v>4</v>
      </c>
      <c r="C9" s="6" t="s">
        <v>8</v>
      </c>
      <c r="D9" s="5">
        <v>15</v>
      </c>
      <c r="E9" s="7">
        <v>1300</v>
      </c>
      <c r="F9" s="7">
        <f t="shared" si="0"/>
        <v>19500</v>
      </c>
      <c r="G9" s="8">
        <f t="shared" si="1"/>
        <v>15</v>
      </c>
      <c r="H9" s="8">
        <v>1</v>
      </c>
      <c r="I9" s="8">
        <v>10</v>
      </c>
      <c r="J9" s="8"/>
      <c r="K9" s="8"/>
      <c r="L9" s="8">
        <v>4</v>
      </c>
      <c r="M9" s="8"/>
      <c r="N9" s="8"/>
      <c r="O9" s="8">
        <f t="shared" si="2"/>
        <v>0</v>
      </c>
    </row>
    <row r="10" spans="1:15" x14ac:dyDescent="0.25">
      <c r="A10" s="24"/>
      <c r="B10" s="5">
        <v>5</v>
      </c>
      <c r="C10" s="6" t="s">
        <v>9</v>
      </c>
      <c r="D10" s="5">
        <v>20</v>
      </c>
      <c r="E10" s="7">
        <v>150</v>
      </c>
      <c r="F10" s="7">
        <f t="shared" si="0"/>
        <v>3000</v>
      </c>
      <c r="G10" s="8">
        <f t="shared" si="1"/>
        <v>20</v>
      </c>
      <c r="H10" s="8">
        <v>5</v>
      </c>
      <c r="I10" s="8"/>
      <c r="J10" s="8">
        <v>5</v>
      </c>
      <c r="K10" s="8">
        <v>5</v>
      </c>
      <c r="L10" s="8">
        <v>5</v>
      </c>
      <c r="M10" s="8"/>
      <c r="N10" s="8"/>
      <c r="O10" s="8">
        <f t="shared" si="2"/>
        <v>0</v>
      </c>
    </row>
    <row r="11" spans="1:15" x14ac:dyDescent="0.25">
      <c r="A11" s="24"/>
      <c r="B11" s="5">
        <v>6</v>
      </c>
      <c r="C11" s="6" t="s">
        <v>10</v>
      </c>
      <c r="D11" s="5">
        <v>20</v>
      </c>
      <c r="E11" s="7">
        <v>800</v>
      </c>
      <c r="F11" s="7">
        <f t="shared" si="0"/>
        <v>16000</v>
      </c>
      <c r="G11" s="8">
        <f t="shared" si="1"/>
        <v>20</v>
      </c>
      <c r="H11" s="8">
        <v>8</v>
      </c>
      <c r="I11" s="8"/>
      <c r="J11" s="8"/>
      <c r="K11" s="8">
        <v>6</v>
      </c>
      <c r="L11" s="8">
        <v>6</v>
      </c>
      <c r="M11" s="8"/>
      <c r="N11" s="8"/>
      <c r="O11" s="8">
        <f t="shared" si="2"/>
        <v>0</v>
      </c>
    </row>
    <row r="12" spans="1:15" x14ac:dyDescent="0.25">
      <c r="A12" s="24"/>
      <c r="B12" s="5">
        <v>7</v>
      </c>
      <c r="C12" s="6" t="s">
        <v>11</v>
      </c>
      <c r="D12" s="5">
        <v>17</v>
      </c>
      <c r="E12" s="7">
        <v>1350</v>
      </c>
      <c r="F12" s="7">
        <f t="shared" si="0"/>
        <v>22950</v>
      </c>
      <c r="G12" s="8">
        <f t="shared" si="1"/>
        <v>17</v>
      </c>
      <c r="H12" s="8">
        <v>8</v>
      </c>
      <c r="I12" s="8"/>
      <c r="J12" s="8">
        <v>5</v>
      </c>
      <c r="K12" s="8"/>
      <c r="L12" s="8"/>
      <c r="M12" s="8">
        <v>4</v>
      </c>
      <c r="N12" s="8"/>
      <c r="O12" s="8">
        <f t="shared" si="2"/>
        <v>0</v>
      </c>
    </row>
    <row r="13" spans="1:15" x14ac:dyDescent="0.25">
      <c r="A13" s="24"/>
      <c r="B13" s="5">
        <v>8</v>
      </c>
      <c r="C13" s="6" t="s">
        <v>12</v>
      </c>
      <c r="D13" s="5">
        <v>11</v>
      </c>
      <c r="E13" s="7">
        <v>1500</v>
      </c>
      <c r="F13" s="7">
        <f t="shared" si="0"/>
        <v>16500</v>
      </c>
      <c r="G13" s="8">
        <f t="shared" si="1"/>
        <v>11</v>
      </c>
      <c r="H13" s="8"/>
      <c r="I13" s="8"/>
      <c r="J13" s="8"/>
      <c r="K13" s="8">
        <v>4</v>
      </c>
      <c r="L13" s="8"/>
      <c r="M13" s="8">
        <v>4</v>
      </c>
      <c r="N13" s="8">
        <v>3</v>
      </c>
      <c r="O13" s="8">
        <f t="shared" si="2"/>
        <v>0</v>
      </c>
    </row>
    <row r="14" spans="1:15" x14ac:dyDescent="0.25">
      <c r="A14" s="24"/>
      <c r="B14" s="5">
        <v>9</v>
      </c>
      <c r="C14" s="6" t="s">
        <v>13</v>
      </c>
      <c r="D14" s="5">
        <v>30</v>
      </c>
      <c r="E14" s="7">
        <v>3800</v>
      </c>
      <c r="F14" s="7">
        <f t="shared" si="0"/>
        <v>114000</v>
      </c>
      <c r="G14" s="8">
        <f t="shared" si="1"/>
        <v>30</v>
      </c>
      <c r="H14" s="8">
        <v>8</v>
      </c>
      <c r="I14" s="8">
        <v>10</v>
      </c>
      <c r="J14" s="8">
        <v>8</v>
      </c>
      <c r="K14" s="8"/>
      <c r="L14" s="8"/>
      <c r="M14" s="8">
        <v>4</v>
      </c>
      <c r="N14" s="8"/>
      <c r="O14" s="8">
        <f t="shared" si="2"/>
        <v>0</v>
      </c>
    </row>
    <row r="15" spans="1:15" x14ac:dyDescent="0.25">
      <c r="A15" s="24"/>
      <c r="B15" s="5">
        <v>10</v>
      </c>
      <c r="C15" s="6" t="s">
        <v>14</v>
      </c>
      <c r="D15" s="5">
        <v>11</v>
      </c>
      <c r="E15" s="7">
        <v>1300</v>
      </c>
      <c r="F15" s="7">
        <f t="shared" si="0"/>
        <v>14300</v>
      </c>
      <c r="G15" s="8">
        <f t="shared" si="1"/>
        <v>11</v>
      </c>
      <c r="H15" s="8"/>
      <c r="I15" s="8"/>
      <c r="J15" s="8"/>
      <c r="K15" s="8">
        <v>6</v>
      </c>
      <c r="L15" s="8">
        <v>5</v>
      </c>
      <c r="M15" s="8"/>
      <c r="N15" s="8"/>
      <c r="O15" s="8">
        <f t="shared" si="2"/>
        <v>0</v>
      </c>
    </row>
    <row r="16" spans="1:15" x14ac:dyDescent="0.25">
      <c r="A16" s="24"/>
      <c r="B16" s="5">
        <v>11</v>
      </c>
      <c r="C16" s="9" t="s">
        <v>15</v>
      </c>
      <c r="D16" s="10">
        <v>5</v>
      </c>
      <c r="E16" s="11">
        <v>1850</v>
      </c>
      <c r="F16" s="7">
        <f t="shared" si="0"/>
        <v>9250</v>
      </c>
      <c r="G16" s="8">
        <f t="shared" si="1"/>
        <v>5</v>
      </c>
      <c r="H16" s="8"/>
      <c r="I16" s="8">
        <v>5</v>
      </c>
      <c r="J16" s="8"/>
      <c r="K16" s="8"/>
      <c r="L16" s="8"/>
      <c r="M16" s="8"/>
      <c r="N16" s="8"/>
      <c r="O16" s="8">
        <f t="shared" si="2"/>
        <v>0</v>
      </c>
    </row>
    <row r="17" spans="1:15" x14ac:dyDescent="0.25">
      <c r="A17" s="24"/>
      <c r="B17" s="5">
        <v>12</v>
      </c>
      <c r="C17" s="9" t="s">
        <v>16</v>
      </c>
      <c r="D17" s="10">
        <v>7</v>
      </c>
      <c r="E17" s="11">
        <v>900</v>
      </c>
      <c r="F17" s="7">
        <f t="shared" si="0"/>
        <v>6300</v>
      </c>
      <c r="G17" s="8">
        <f t="shared" si="1"/>
        <v>7</v>
      </c>
      <c r="H17" s="8">
        <v>1</v>
      </c>
      <c r="I17" s="8">
        <v>1</v>
      </c>
      <c r="J17" s="8">
        <v>1</v>
      </c>
      <c r="K17" s="8">
        <v>1</v>
      </c>
      <c r="L17" s="8">
        <v>1</v>
      </c>
      <c r="M17" s="8">
        <v>1</v>
      </c>
      <c r="N17" s="8">
        <v>1</v>
      </c>
      <c r="O17" s="8">
        <f t="shared" si="2"/>
        <v>0</v>
      </c>
    </row>
    <row r="18" spans="1:15" x14ac:dyDescent="0.25">
      <c r="A18" s="24"/>
      <c r="B18" s="5">
        <v>13</v>
      </c>
      <c r="C18" s="9" t="s">
        <v>17</v>
      </c>
      <c r="D18" s="10">
        <v>1</v>
      </c>
      <c r="E18" s="11">
        <v>9500</v>
      </c>
      <c r="F18" s="7">
        <f t="shared" si="0"/>
        <v>9500</v>
      </c>
      <c r="G18" s="8">
        <f t="shared" si="1"/>
        <v>1</v>
      </c>
      <c r="H18" s="8">
        <v>1</v>
      </c>
      <c r="I18" s="8"/>
      <c r="J18" s="8"/>
      <c r="K18" s="8"/>
      <c r="L18" s="8"/>
      <c r="M18" s="8"/>
      <c r="N18" s="8"/>
      <c r="O18" s="8">
        <f t="shared" si="2"/>
        <v>0</v>
      </c>
    </row>
    <row r="19" spans="1:15" x14ac:dyDescent="0.25">
      <c r="A19" s="24"/>
      <c r="B19" s="5">
        <v>14</v>
      </c>
      <c r="C19" s="9" t="s">
        <v>18</v>
      </c>
      <c r="D19" s="10">
        <v>1</v>
      </c>
      <c r="E19" s="11">
        <v>19000</v>
      </c>
      <c r="F19" s="7">
        <f t="shared" si="0"/>
        <v>19000</v>
      </c>
      <c r="G19" s="8">
        <f t="shared" si="1"/>
        <v>1</v>
      </c>
      <c r="H19" s="8">
        <v>1</v>
      </c>
      <c r="I19" s="8"/>
      <c r="J19" s="8"/>
      <c r="K19" s="8"/>
      <c r="L19" s="8"/>
      <c r="M19" s="8"/>
      <c r="N19" s="8"/>
      <c r="O19" s="8">
        <f t="shared" si="2"/>
        <v>0</v>
      </c>
    </row>
    <row r="20" spans="1:15" x14ac:dyDescent="0.25">
      <c r="A20" s="24"/>
      <c r="B20" s="5">
        <v>15</v>
      </c>
      <c r="C20" s="9" t="s">
        <v>19</v>
      </c>
      <c r="D20" s="10">
        <v>7</v>
      </c>
      <c r="E20" s="11">
        <v>1600</v>
      </c>
      <c r="F20" s="7">
        <f t="shared" si="0"/>
        <v>11200</v>
      </c>
      <c r="G20" s="8">
        <f t="shared" si="1"/>
        <v>7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f t="shared" si="2"/>
        <v>0</v>
      </c>
    </row>
    <row r="21" spans="1:15" x14ac:dyDescent="0.25">
      <c r="A21" s="24"/>
      <c r="B21" s="5">
        <v>16</v>
      </c>
      <c r="C21" s="9" t="s">
        <v>20</v>
      </c>
      <c r="D21" s="10">
        <v>7</v>
      </c>
      <c r="E21" s="11">
        <v>700</v>
      </c>
      <c r="F21" s="7">
        <f t="shared" si="0"/>
        <v>4900</v>
      </c>
      <c r="G21" s="8">
        <f t="shared" si="1"/>
        <v>7</v>
      </c>
      <c r="H21" s="8">
        <v>1</v>
      </c>
      <c r="I21" s="8">
        <v>1</v>
      </c>
      <c r="J21" s="8">
        <v>1</v>
      </c>
      <c r="K21" s="8">
        <v>1</v>
      </c>
      <c r="L21" s="8">
        <v>1</v>
      </c>
      <c r="M21" s="8">
        <v>1</v>
      </c>
      <c r="N21" s="8">
        <v>1</v>
      </c>
      <c r="O21" s="8">
        <f t="shared" si="2"/>
        <v>0</v>
      </c>
    </row>
    <row r="22" spans="1:15" x14ac:dyDescent="0.25">
      <c r="A22" s="25"/>
      <c r="B22" s="5">
        <v>17</v>
      </c>
      <c r="C22" s="9" t="s">
        <v>21</v>
      </c>
      <c r="D22" s="10">
        <v>7</v>
      </c>
      <c r="E22" s="11">
        <v>1800</v>
      </c>
      <c r="F22" s="7">
        <f t="shared" si="0"/>
        <v>12600</v>
      </c>
      <c r="G22" s="8">
        <f t="shared" si="1"/>
        <v>7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>
        <v>1</v>
      </c>
      <c r="N22" s="8">
        <v>1</v>
      </c>
      <c r="O22" s="8">
        <v>0</v>
      </c>
    </row>
    <row r="43" spans="17:17" x14ac:dyDescent="0.25">
      <c r="Q43" s="4" t="s">
        <v>30</v>
      </c>
    </row>
    <row r="44" spans="17:17" x14ac:dyDescent="0.25">
      <c r="Q44" s="4" t="s">
        <v>30</v>
      </c>
    </row>
  </sheetData>
  <mergeCells count="2">
    <mergeCell ref="B5:C5"/>
    <mergeCell ref="A6:A22"/>
  </mergeCells>
  <hyperlinks>
    <hyperlink ref="Q43" r:id="rId1" xr:uid="{00000000-0004-0000-0000-000000000000}"/>
    <hyperlink ref="Q44" r:id="rId2" xr:uid="{00000000-0004-0000-0000-000001000000}"/>
  </hyperlinks>
  <pageMargins left="0.7" right="0.7" top="0.75" bottom="0.75" header="0.3" footer="0.3"/>
  <pageSetup paperSize="9" scale="71" orientation="landscape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2"/>
  <sheetViews>
    <sheetView tabSelected="1" workbookViewId="0"/>
  </sheetViews>
  <sheetFormatPr baseColWidth="10" defaultRowHeight="15" x14ac:dyDescent="0.25"/>
  <cols>
    <col min="1" max="1" width="11.42578125" customWidth="1"/>
    <col min="2" max="2" width="37.42578125" customWidth="1"/>
    <col min="3" max="3" width="14.7109375" customWidth="1"/>
    <col min="4" max="4" width="11.42578125" customWidth="1"/>
    <col min="5" max="5" width="14.7109375" bestFit="1" customWidth="1"/>
    <col min="6" max="6" width="14" customWidth="1"/>
    <col min="7" max="7" width="11.42578125" customWidth="1"/>
    <col min="9" max="9" width="11.42578125" customWidth="1"/>
    <col min="10" max="10" width="13" bestFit="1" customWidth="1"/>
    <col min="11" max="11" width="11.42578125" customWidth="1"/>
  </cols>
  <sheetData>
    <row r="1" spans="1:11" ht="21" x14ac:dyDescent="0.35">
      <c r="A1" s="20" t="s">
        <v>57</v>
      </c>
    </row>
    <row r="2" spans="1:11" ht="21" x14ac:dyDescent="0.35">
      <c r="A2" s="19" t="s">
        <v>49</v>
      </c>
    </row>
    <row r="3" spans="1:11" x14ac:dyDescent="0.25">
      <c r="C3" s="30" t="s">
        <v>54</v>
      </c>
      <c r="D3" s="30"/>
      <c r="E3" s="33" t="s">
        <v>56</v>
      </c>
      <c r="F3" s="26"/>
      <c r="G3" s="26"/>
      <c r="H3" s="26"/>
      <c r="I3" s="26"/>
      <c r="J3" s="26"/>
      <c r="K3" s="26"/>
    </row>
    <row r="4" spans="1:11" ht="15.75" x14ac:dyDescent="0.25">
      <c r="A4" s="21" t="s">
        <v>1</v>
      </c>
      <c r="B4" s="27"/>
      <c r="C4" s="31" t="s">
        <v>55</v>
      </c>
      <c r="D4" s="32" t="s">
        <v>56</v>
      </c>
      <c r="E4" s="28" t="s">
        <v>53</v>
      </c>
      <c r="F4" s="16" t="s">
        <v>46</v>
      </c>
      <c r="G4" s="16" t="s">
        <v>50</v>
      </c>
      <c r="H4" s="16" t="s">
        <v>47</v>
      </c>
      <c r="I4" s="16" t="s">
        <v>51</v>
      </c>
      <c r="J4" s="16" t="s">
        <v>48</v>
      </c>
      <c r="K4" s="16" t="s">
        <v>52</v>
      </c>
    </row>
    <row r="5" spans="1:11" ht="35.1" customHeight="1" x14ac:dyDescent="0.25">
      <c r="A5" s="1">
        <v>1</v>
      </c>
      <c r="B5" s="12" t="s">
        <v>5</v>
      </c>
      <c r="C5" s="18"/>
      <c r="D5" s="29"/>
      <c r="E5" s="17"/>
      <c r="F5" s="17"/>
      <c r="G5" s="17"/>
      <c r="H5" s="17"/>
      <c r="I5" s="17"/>
      <c r="J5" s="17"/>
      <c r="K5" s="17"/>
    </row>
    <row r="6" spans="1:11" ht="35.1" customHeight="1" x14ac:dyDescent="0.25">
      <c r="A6" s="1">
        <v>2</v>
      </c>
      <c r="B6" s="12" t="s">
        <v>13</v>
      </c>
      <c r="C6" s="1"/>
      <c r="D6" s="17"/>
      <c r="E6" s="17"/>
      <c r="F6" s="17"/>
      <c r="G6" s="17"/>
      <c r="H6" s="17"/>
      <c r="I6" s="17"/>
      <c r="J6" s="17"/>
      <c r="K6" s="17"/>
    </row>
    <row r="7" spans="1:11" ht="35.1" customHeight="1" x14ac:dyDescent="0.25">
      <c r="A7" s="1">
        <v>3</v>
      </c>
      <c r="B7" s="12" t="s">
        <v>31</v>
      </c>
      <c r="C7" s="1"/>
      <c r="D7" s="17"/>
      <c r="E7" s="17"/>
      <c r="F7" s="17"/>
      <c r="G7" s="17"/>
      <c r="H7" s="17"/>
      <c r="I7" s="17"/>
      <c r="J7" s="17"/>
      <c r="K7" s="17"/>
    </row>
    <row r="8" spans="1:11" ht="35.1" customHeight="1" x14ac:dyDescent="0.25">
      <c r="A8" s="1">
        <v>4</v>
      </c>
      <c r="B8" s="12" t="s">
        <v>10</v>
      </c>
      <c r="C8" s="1"/>
      <c r="D8" s="17"/>
      <c r="E8" s="17"/>
      <c r="F8" s="17"/>
      <c r="G8" s="17"/>
      <c r="H8" s="17"/>
      <c r="I8" s="17"/>
      <c r="J8" s="17"/>
      <c r="K8" s="17"/>
    </row>
    <row r="9" spans="1:11" ht="35.1" customHeight="1" x14ac:dyDescent="0.25">
      <c r="A9" s="1">
        <v>5</v>
      </c>
      <c r="B9" s="12" t="s">
        <v>32</v>
      </c>
      <c r="C9" s="1"/>
      <c r="D9" s="17"/>
      <c r="E9" s="17"/>
      <c r="F9" s="17"/>
      <c r="G9" s="17"/>
      <c r="H9" s="17"/>
      <c r="I9" s="17"/>
      <c r="J9" s="17"/>
      <c r="K9" s="17"/>
    </row>
    <row r="10" spans="1:11" ht="35.1" customHeight="1" x14ac:dyDescent="0.25">
      <c r="A10" s="1">
        <v>6</v>
      </c>
      <c r="B10" s="12" t="s">
        <v>33</v>
      </c>
      <c r="C10" s="1"/>
      <c r="D10" s="17"/>
      <c r="E10" s="17"/>
      <c r="F10" s="17"/>
      <c r="G10" s="17"/>
      <c r="H10" s="17"/>
      <c r="I10" s="17"/>
      <c r="J10" s="17"/>
      <c r="K10" s="17"/>
    </row>
    <row r="11" spans="1:11" ht="35.1" customHeight="1" x14ac:dyDescent="0.25">
      <c r="A11" s="1">
        <v>7</v>
      </c>
      <c r="B11" s="12" t="s">
        <v>34</v>
      </c>
      <c r="C11" s="1"/>
      <c r="D11" s="17"/>
      <c r="E11" s="17"/>
      <c r="F11" s="17"/>
      <c r="G11" s="17"/>
      <c r="H11" s="17"/>
      <c r="I11" s="17"/>
      <c r="J11" s="17"/>
      <c r="K11" s="17"/>
    </row>
    <row r="12" spans="1:11" ht="35.1" customHeight="1" x14ac:dyDescent="0.25">
      <c r="A12" s="1">
        <v>8</v>
      </c>
      <c r="B12" s="12" t="s">
        <v>35</v>
      </c>
      <c r="C12" s="1"/>
      <c r="D12" s="17"/>
      <c r="E12" s="17"/>
      <c r="F12" s="17"/>
      <c r="G12" s="17"/>
      <c r="H12" s="17"/>
      <c r="I12" s="17"/>
      <c r="J12" s="17"/>
      <c r="K12" s="17"/>
    </row>
    <row r="13" spans="1:11" ht="35.1" customHeight="1" x14ac:dyDescent="0.25">
      <c r="A13" s="1">
        <v>9</v>
      </c>
      <c r="B13" s="13" t="s">
        <v>36</v>
      </c>
      <c r="C13" s="1"/>
      <c r="D13" s="17"/>
      <c r="E13" s="17"/>
      <c r="F13" s="17"/>
      <c r="G13" s="17"/>
      <c r="H13" s="17"/>
      <c r="I13" s="17"/>
      <c r="J13" s="17"/>
      <c r="K13" s="17"/>
    </row>
    <row r="14" spans="1:11" ht="35.1" customHeight="1" x14ac:dyDescent="0.25">
      <c r="A14" s="1">
        <v>10</v>
      </c>
      <c r="B14" s="13" t="s">
        <v>37</v>
      </c>
      <c r="C14" s="1"/>
      <c r="D14" s="17"/>
      <c r="E14" s="17"/>
      <c r="F14" s="17"/>
      <c r="G14" s="17"/>
      <c r="H14" s="17"/>
      <c r="I14" s="17"/>
      <c r="J14" s="17"/>
      <c r="K14" s="17"/>
    </row>
    <row r="15" spans="1:11" ht="35.1" customHeight="1" x14ac:dyDescent="0.25">
      <c r="A15" s="1">
        <v>11</v>
      </c>
      <c r="B15" s="13" t="s">
        <v>38</v>
      </c>
      <c r="C15" s="14"/>
      <c r="D15" s="17"/>
      <c r="E15" s="17"/>
      <c r="F15" s="17"/>
      <c r="G15" s="17"/>
      <c r="H15" s="17"/>
      <c r="I15" s="17"/>
      <c r="J15" s="17"/>
      <c r="K15" s="17"/>
    </row>
    <row r="16" spans="1:11" ht="35.1" customHeight="1" x14ac:dyDescent="0.25">
      <c r="A16" s="1">
        <v>12</v>
      </c>
      <c r="B16" s="13" t="s">
        <v>39</v>
      </c>
      <c r="C16" s="14"/>
      <c r="D16" s="17"/>
      <c r="E16" s="17"/>
      <c r="F16" s="17"/>
      <c r="G16" s="17"/>
      <c r="H16" s="17"/>
      <c r="I16" s="17"/>
      <c r="J16" s="17"/>
      <c r="K16" s="17"/>
    </row>
    <row r="17" spans="1:11" ht="35.1" customHeight="1" x14ac:dyDescent="0.25">
      <c r="A17" s="1">
        <v>13</v>
      </c>
      <c r="B17" s="13" t="s">
        <v>40</v>
      </c>
      <c r="C17" s="14"/>
      <c r="D17" s="17"/>
      <c r="E17" s="17"/>
      <c r="F17" s="17"/>
      <c r="G17" s="17"/>
      <c r="H17" s="17"/>
      <c r="I17" s="17"/>
      <c r="J17" s="17"/>
      <c r="K17" s="17"/>
    </row>
    <row r="18" spans="1:11" ht="35.1" customHeight="1" x14ac:dyDescent="0.25">
      <c r="A18" s="1">
        <v>14</v>
      </c>
      <c r="B18" s="13" t="s">
        <v>41</v>
      </c>
      <c r="C18" s="14"/>
      <c r="D18" s="17"/>
      <c r="E18" s="17"/>
      <c r="F18" s="17"/>
      <c r="G18" s="17"/>
      <c r="H18" s="17"/>
      <c r="I18" s="17"/>
      <c r="J18" s="17"/>
      <c r="K18" s="17"/>
    </row>
    <row r="19" spans="1:11" ht="35.1" customHeight="1" x14ac:dyDescent="0.25">
      <c r="A19" s="1">
        <v>15</v>
      </c>
      <c r="B19" s="13" t="s">
        <v>42</v>
      </c>
      <c r="C19" s="14"/>
      <c r="D19" s="17"/>
      <c r="E19" s="17"/>
      <c r="F19" s="17"/>
      <c r="G19" s="17"/>
      <c r="H19" s="17"/>
      <c r="I19" s="17"/>
      <c r="J19" s="17"/>
      <c r="K19" s="17"/>
    </row>
    <row r="20" spans="1:11" ht="35.1" customHeight="1" x14ac:dyDescent="0.25">
      <c r="A20" s="15">
        <v>16</v>
      </c>
      <c r="B20" s="13" t="s">
        <v>43</v>
      </c>
      <c r="C20" s="14"/>
      <c r="D20" s="17"/>
      <c r="E20" s="17"/>
      <c r="F20" s="17"/>
      <c r="G20" s="17"/>
      <c r="H20" s="17"/>
      <c r="I20" s="17"/>
      <c r="J20" s="17"/>
      <c r="K20" s="17"/>
    </row>
    <row r="21" spans="1:11" ht="35.1" customHeight="1" x14ac:dyDescent="0.25">
      <c r="A21" s="15">
        <v>17</v>
      </c>
      <c r="B21" s="13" t="s">
        <v>44</v>
      </c>
      <c r="C21" s="14"/>
      <c r="D21" s="17"/>
      <c r="E21" s="17"/>
      <c r="F21" s="17"/>
      <c r="G21" s="17"/>
      <c r="H21" s="17"/>
      <c r="I21" s="17"/>
      <c r="J21" s="17"/>
      <c r="K21" s="17"/>
    </row>
    <row r="22" spans="1:11" ht="35.1" customHeight="1" x14ac:dyDescent="0.25">
      <c r="A22" s="15">
        <v>18</v>
      </c>
      <c r="B22" s="13" t="s">
        <v>45</v>
      </c>
      <c r="C22" s="14"/>
      <c r="D22" s="17"/>
      <c r="E22" s="17"/>
      <c r="F22" s="17"/>
      <c r="G22" s="17"/>
      <c r="H22" s="17"/>
      <c r="I22" s="17"/>
      <c r="J22" s="17"/>
      <c r="K22" s="17"/>
    </row>
  </sheetData>
  <mergeCells count="3">
    <mergeCell ref="A4:B4"/>
    <mergeCell ref="C3:D3"/>
    <mergeCell ref="E3:K3"/>
  </mergeCells>
  <pageMargins left="0.7" right="0.7" top="0.75" bottom="0.75" header="0.3" footer="0.3"/>
  <pageSetup paperSize="9" scale="7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TIDJANI</dc:creator>
  <cp:lastModifiedBy>Aissa LAIFAOUI</cp:lastModifiedBy>
  <cp:lastPrinted>2024-10-17T07:39:55Z</cp:lastPrinted>
  <dcterms:created xsi:type="dcterms:W3CDTF">2023-11-23T12:26:17Z</dcterms:created>
  <dcterms:modified xsi:type="dcterms:W3CDTF">2026-08-16T09:15:42Z</dcterms:modified>
</cp:coreProperties>
</file>